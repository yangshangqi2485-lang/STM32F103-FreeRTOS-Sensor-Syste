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ysq\stm32\"/>
    </mc:Choice>
  </mc:AlternateContent>
  <bookViews>
    <workbookView xWindow="0" yWindow="0" windowWidth="17256" windowHeight="58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D3" i="1" s="1"/>
  <c r="E3" i="1" s="1"/>
  <c r="C4" i="1"/>
  <c r="C5" i="1"/>
  <c r="C6" i="1"/>
  <c r="C7" i="1"/>
  <c r="D7" i="1" s="1"/>
  <c r="E7" i="1" s="1"/>
  <c r="C8" i="1"/>
  <c r="C9" i="1"/>
  <c r="C10" i="1"/>
  <c r="C11" i="1"/>
  <c r="C12" i="1"/>
  <c r="C13" i="1"/>
  <c r="C14" i="1"/>
  <c r="D14" i="1" s="1"/>
  <c r="E14" i="1" s="1"/>
  <c r="C15" i="1"/>
  <c r="D15" i="1" s="1"/>
  <c r="E15" i="1" s="1"/>
  <c r="C16" i="1"/>
  <c r="C17" i="1"/>
  <c r="C18" i="1"/>
  <c r="D18" i="1" s="1"/>
  <c r="E18" i="1" s="1"/>
  <c r="C19" i="1"/>
  <c r="D19" i="1" s="1"/>
  <c r="E19" i="1" s="1"/>
  <c r="C20" i="1"/>
  <c r="C21" i="1"/>
  <c r="C22" i="1"/>
  <c r="C23" i="1"/>
  <c r="C24" i="1"/>
  <c r="C25" i="1"/>
  <c r="C26" i="1"/>
  <c r="C27" i="1"/>
  <c r="C28" i="1"/>
  <c r="C29" i="1"/>
  <c r="D29" i="1" s="1"/>
  <c r="E29" i="1" s="1"/>
  <c r="C30" i="1"/>
  <c r="D30" i="1" s="1"/>
  <c r="E30" i="1" s="1"/>
  <c r="C31" i="1"/>
  <c r="C32" i="1"/>
  <c r="C33" i="1"/>
  <c r="C34" i="1"/>
  <c r="C35" i="1"/>
  <c r="D35" i="1" s="1"/>
  <c r="E35" i="1" s="1"/>
  <c r="C36" i="1"/>
  <c r="C37" i="1"/>
  <c r="C38" i="1"/>
  <c r="C39" i="1"/>
  <c r="C40" i="1"/>
  <c r="C41" i="1"/>
  <c r="C42" i="1"/>
  <c r="C43" i="1"/>
  <c r="C44" i="1"/>
  <c r="C45" i="1"/>
  <c r="D45" i="1" s="1"/>
  <c r="E45" i="1" s="1"/>
  <c r="C46" i="1"/>
  <c r="D46" i="1" s="1"/>
  <c r="E46" i="1" s="1"/>
  <c r="C47" i="1"/>
  <c r="D47" i="1" s="1"/>
  <c r="E47" i="1" s="1"/>
  <c r="C48" i="1"/>
  <c r="D48" i="1" s="1"/>
  <c r="E48" i="1" s="1"/>
  <c r="C49" i="1"/>
  <c r="D49" i="1" s="1"/>
  <c r="E49" i="1" s="1"/>
  <c r="C50" i="1"/>
  <c r="D50" i="1" s="1"/>
  <c r="E50" i="1" s="1"/>
  <c r="C51" i="1"/>
  <c r="D51" i="1" s="1"/>
  <c r="E51" i="1" s="1"/>
  <c r="C52" i="1"/>
  <c r="C53" i="1"/>
  <c r="C54" i="1"/>
  <c r="D54" i="1" s="1"/>
  <c r="E54" i="1" s="1"/>
  <c r="C55" i="1"/>
  <c r="D55" i="1" s="1"/>
  <c r="E55" i="1" s="1"/>
  <c r="C56" i="1"/>
  <c r="C57" i="1"/>
  <c r="C58" i="1"/>
  <c r="C59" i="1"/>
  <c r="C60" i="1"/>
  <c r="C61" i="1"/>
  <c r="D61" i="1" s="1"/>
  <c r="E61" i="1" s="1"/>
  <c r="C62" i="1"/>
  <c r="D62" i="1" s="1"/>
  <c r="E62" i="1" s="1"/>
  <c r="C63" i="1"/>
  <c r="C64" i="1"/>
  <c r="D64" i="1" s="1"/>
  <c r="E64" i="1" s="1"/>
  <c r="C65" i="1"/>
  <c r="C66" i="1"/>
  <c r="D66" i="1" s="1"/>
  <c r="E66" i="1" s="1"/>
  <c r="C67" i="1"/>
  <c r="D67" i="1" s="1"/>
  <c r="E67" i="1" s="1"/>
  <c r="C68" i="1"/>
  <c r="C69" i="1"/>
  <c r="C70" i="1"/>
  <c r="C71" i="1"/>
  <c r="C72" i="1"/>
  <c r="C73" i="1"/>
  <c r="C74" i="1"/>
  <c r="C75" i="1"/>
  <c r="C76" i="1"/>
  <c r="C77" i="1"/>
  <c r="C78" i="1"/>
  <c r="C79" i="1"/>
  <c r="D79" i="1" s="1"/>
  <c r="E79" i="1" s="1"/>
  <c r="C80" i="1"/>
  <c r="C81" i="1"/>
  <c r="D81" i="1" s="1"/>
  <c r="E81" i="1" s="1"/>
  <c r="C82" i="1"/>
  <c r="D82" i="1" s="1"/>
  <c r="E82" i="1" s="1"/>
  <c r="C83" i="1"/>
  <c r="D83" i="1" s="1"/>
  <c r="E83" i="1" s="1"/>
  <c r="C84" i="1"/>
  <c r="C85" i="1"/>
  <c r="C86" i="1"/>
  <c r="C87" i="1"/>
  <c r="C88" i="1"/>
  <c r="C89" i="1"/>
  <c r="C90" i="1"/>
  <c r="D90" i="1" s="1"/>
  <c r="E90" i="1" s="1"/>
  <c r="C91" i="1"/>
  <c r="D91" i="1" s="1"/>
  <c r="E91" i="1" s="1"/>
  <c r="C92" i="1"/>
  <c r="D92" i="1" s="1"/>
  <c r="E92" i="1" s="1"/>
  <c r="C93" i="1"/>
  <c r="D93" i="1" s="1"/>
  <c r="E93" i="1" s="1"/>
  <c r="C94" i="1"/>
  <c r="D94" i="1" s="1"/>
  <c r="E94" i="1" s="1"/>
  <c r="C95" i="1"/>
  <c r="D95" i="1" s="1"/>
  <c r="E95" i="1" s="1"/>
  <c r="C96" i="1"/>
  <c r="C97" i="1"/>
  <c r="C98" i="1"/>
  <c r="D98" i="1" s="1"/>
  <c r="E98" i="1" s="1"/>
  <c r="C99" i="1"/>
  <c r="C100" i="1"/>
  <c r="C101" i="1"/>
  <c r="C102" i="1"/>
  <c r="D102" i="1" s="1"/>
  <c r="E102" i="1" s="1"/>
  <c r="C2" i="1"/>
  <c r="D2" i="1" s="1"/>
  <c r="E2" i="1" s="1"/>
  <c r="D12" i="1"/>
  <c r="E12" i="1" s="1"/>
  <c r="D16" i="1"/>
  <c r="E16" i="1" s="1"/>
  <c r="D17" i="1"/>
  <c r="E17" i="1" s="1"/>
  <c r="D22" i="1"/>
  <c r="E22" i="1" s="1"/>
  <c r="D23" i="1"/>
  <c r="E23" i="1" s="1"/>
  <c r="D31" i="1"/>
  <c r="E31" i="1" s="1"/>
  <c r="D34" i="1"/>
  <c r="E34" i="1" s="1"/>
  <c r="D58" i="1"/>
  <c r="E58" i="1" s="1"/>
  <c r="D65" i="1"/>
  <c r="E65" i="1" s="1"/>
  <c r="D70" i="1"/>
  <c r="E70" i="1" s="1"/>
  <c r="D71" i="1"/>
  <c r="E71" i="1" s="1"/>
  <c r="D74" i="1"/>
  <c r="E74" i="1" s="1"/>
  <c r="D75" i="1"/>
  <c r="E75" i="1" s="1"/>
  <c r="D78" i="1"/>
  <c r="E78" i="1" s="1"/>
  <c r="D87" i="1"/>
  <c r="E87" i="1" s="1"/>
  <c r="D96" i="1"/>
  <c r="E96" i="1" s="1"/>
  <c r="D97" i="1"/>
  <c r="E97" i="1" s="1"/>
  <c r="D13" i="1"/>
  <c r="E13" i="1" s="1"/>
  <c r="D27" i="1"/>
  <c r="E27" i="1" s="1"/>
  <c r="D33" i="1"/>
  <c r="E33" i="1" s="1"/>
  <c r="D39" i="1"/>
  <c r="E39" i="1" s="1"/>
  <c r="D76" i="1"/>
  <c r="E76" i="1" s="1"/>
  <c r="D80" i="1"/>
  <c r="E80" i="1" s="1"/>
  <c r="D9" i="1"/>
  <c r="E9" i="1" s="1"/>
  <c r="D57" i="1"/>
  <c r="E57" i="1" s="1"/>
  <c r="D73" i="1"/>
  <c r="E73" i="1" s="1"/>
  <c r="D77" i="1"/>
  <c r="E77" i="1" s="1"/>
  <c r="D99" i="1"/>
  <c r="E99" i="1" s="1"/>
  <c r="D4" i="1"/>
  <c r="E4" i="1" s="1"/>
  <c r="D20" i="1"/>
  <c r="E20" i="1" s="1"/>
  <c r="D28" i="1"/>
  <c r="E28" i="1" s="1"/>
  <c r="D32" i="1"/>
  <c r="E32" i="1" s="1"/>
  <c r="D44" i="1"/>
  <c r="E44" i="1" s="1"/>
  <c r="D68" i="1"/>
  <c r="E68" i="1" s="1"/>
  <c r="D6" i="1"/>
  <c r="E6" i="1" s="1"/>
  <c r="D10" i="1"/>
  <c r="E10" i="1" s="1"/>
  <c r="D25" i="1"/>
  <c r="E25" i="1" s="1"/>
  <c r="D26" i="1"/>
  <c r="E26" i="1" s="1"/>
  <c r="D38" i="1"/>
  <c r="E38" i="1" s="1"/>
  <c r="D41" i="1"/>
  <c r="E41" i="1" s="1"/>
  <c r="D42" i="1"/>
  <c r="E42" i="1" s="1"/>
  <c r="D86" i="1"/>
  <c r="E86" i="1" s="1"/>
  <c r="D89" i="1"/>
  <c r="E89" i="1" s="1"/>
  <c r="D5" i="1"/>
  <c r="E5" i="1" s="1"/>
  <c r="D8" i="1"/>
  <c r="E8" i="1" s="1"/>
  <c r="D11" i="1"/>
  <c r="E11" i="1" s="1"/>
  <c r="D21" i="1"/>
  <c r="E21" i="1" s="1"/>
  <c r="D24" i="1"/>
  <c r="E24" i="1" s="1"/>
  <c r="D36" i="1"/>
  <c r="E36" i="1" s="1"/>
  <c r="D37" i="1"/>
  <c r="E37" i="1" s="1"/>
  <c r="D40" i="1"/>
  <c r="E40" i="1" s="1"/>
  <c r="D43" i="1"/>
  <c r="E43" i="1" s="1"/>
  <c r="D52" i="1"/>
  <c r="E52" i="1" s="1"/>
  <c r="D53" i="1"/>
  <c r="E53" i="1" s="1"/>
  <c r="D56" i="1"/>
  <c r="E56" i="1" s="1"/>
  <c r="D59" i="1"/>
  <c r="E59" i="1" s="1"/>
  <c r="D60" i="1"/>
  <c r="E60" i="1" s="1"/>
  <c r="D63" i="1"/>
  <c r="E63" i="1" s="1"/>
  <c r="D69" i="1"/>
  <c r="E69" i="1" s="1"/>
  <c r="D72" i="1"/>
  <c r="E72" i="1" s="1"/>
  <c r="D84" i="1"/>
  <c r="E84" i="1" s="1"/>
  <c r="D85" i="1"/>
  <c r="E85" i="1" s="1"/>
  <c r="D88" i="1"/>
  <c r="E88" i="1" s="1"/>
  <c r="D100" i="1"/>
  <c r="E100" i="1" s="1"/>
  <c r="D101" i="1"/>
  <c r="E101" i="1" s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3" i="1"/>
  <c r="B2" i="1"/>
</calcChain>
</file>

<file path=xl/sharedStrings.xml><?xml version="1.0" encoding="utf-8"?>
<sst xmlns="http://schemas.openxmlformats.org/spreadsheetml/2006/main" count="6" uniqueCount="6">
  <si>
    <t>温度T</t>
    <phoneticPr fontId="1" type="noConversion"/>
  </si>
  <si>
    <t>开尔文K</t>
    <phoneticPr fontId="1" type="noConversion"/>
  </si>
  <si>
    <t>理论电阻值R</t>
    <phoneticPr fontId="1" type="noConversion"/>
  </si>
  <si>
    <t>理论 ADC 值</t>
    <phoneticPr fontId="1" type="noConversion"/>
  </si>
  <si>
    <t>取整</t>
    <phoneticPr fontId="1" type="noConversion"/>
  </si>
  <si>
    <t>B值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</si>
</sst>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tabSelected="1" workbookViewId="0">
      <selection activeCell="S88" sqref="S88"/>
    </sheetView>
  </sheetViews>
  <sheetFormatPr defaultRowHeight="13.8" x14ac:dyDescent="0.25"/>
  <cols>
    <col min="3" max="3" width="16.109375" customWidth="1"/>
    <col min="4" max="4" width="12.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x14ac:dyDescent="0.25">
      <c r="A2">
        <v>0</v>
      </c>
      <c r="B2">
        <f>SUM(A2,273.15)</f>
        <v>273.14999999999998</v>
      </c>
      <c r="C2">
        <f>10000 * EXP(3950 * (1/B2 - 1/298.15))</f>
        <v>33620.603721435742</v>
      </c>
      <c r="D2">
        <f xml:space="preserve"> 4095 * C2 / (10000 + C2)</f>
        <v>3156.2234470318294</v>
      </c>
      <c r="E2">
        <f xml:space="preserve"> ROUND(D2, 0)</f>
        <v>3156</v>
      </c>
      <c r="G2">
        <v>3950</v>
      </c>
    </row>
    <row r="3" spans="1:7" x14ac:dyDescent="0.25">
      <c r="A3">
        <v>1</v>
      </c>
      <c r="B3">
        <f>SUM(A3,273.15)</f>
        <v>274.14999999999998</v>
      </c>
      <c r="C3">
        <f t="shared" ref="C3:C66" si="0">10000 * EXP(3950 * (1/B3 - 1/298.15))</f>
        <v>31893.138272305434</v>
      </c>
      <c r="D3">
        <f t="shared" ref="D3:D66" si="1" xml:space="preserve"> 4095 * C3 / (10000 + C3)</f>
        <v>3117.5129534620928</v>
      </c>
      <c r="E3">
        <f t="shared" ref="E3:E66" si="2" xml:space="preserve"> ROUND(D3, 0)</f>
        <v>3118</v>
      </c>
    </row>
    <row r="4" spans="1:7" x14ac:dyDescent="0.25">
      <c r="A4">
        <v>2</v>
      </c>
      <c r="B4">
        <f t="shared" ref="B4:B67" si="3">SUM(A4,273.15)</f>
        <v>275.14999999999998</v>
      </c>
      <c r="C4">
        <f t="shared" si="0"/>
        <v>30266.034194017953</v>
      </c>
      <c r="D4">
        <f t="shared" si="1"/>
        <v>3078.0138274187516</v>
      </c>
      <c r="E4">
        <f t="shared" si="2"/>
        <v>3078</v>
      </c>
    </row>
    <row r="5" spans="1:7" x14ac:dyDescent="0.25">
      <c r="A5">
        <v>3</v>
      </c>
      <c r="B5">
        <f t="shared" si="3"/>
        <v>276.14999999999998</v>
      </c>
      <c r="C5">
        <f t="shared" si="0"/>
        <v>28732.835517560583</v>
      </c>
      <c r="D5">
        <f t="shared" si="1"/>
        <v>3037.7574962480039</v>
      </c>
      <c r="E5">
        <f t="shared" si="2"/>
        <v>3038</v>
      </c>
    </row>
    <row r="6" spans="1:7" x14ac:dyDescent="0.25">
      <c r="A6">
        <v>4</v>
      </c>
      <c r="B6">
        <f t="shared" si="3"/>
        <v>277.14999999999998</v>
      </c>
      <c r="C6">
        <f t="shared" si="0"/>
        <v>27287.539531911738</v>
      </c>
      <c r="D6">
        <f t="shared" si="1"/>
        <v>2996.7778991570676</v>
      </c>
      <c r="E6">
        <f t="shared" si="2"/>
        <v>2997</v>
      </c>
    </row>
    <row r="7" spans="1:7" x14ac:dyDescent="0.25">
      <c r="A7">
        <v>5</v>
      </c>
      <c r="B7">
        <f t="shared" si="3"/>
        <v>278.14999999999998</v>
      </c>
      <c r="C7">
        <f t="shared" si="0"/>
        <v>25924.56241959352</v>
      </c>
      <c r="D7">
        <f t="shared" si="1"/>
        <v>2955.1113766756534</v>
      </c>
      <c r="E7">
        <f t="shared" si="2"/>
        <v>2955</v>
      </c>
    </row>
    <row r="8" spans="1:7" x14ac:dyDescent="0.25">
      <c r="A8">
        <v>6</v>
      </c>
      <c r="B8">
        <f t="shared" si="3"/>
        <v>279.14999999999998</v>
      </c>
      <c r="C8">
        <f t="shared" si="0"/>
        <v>24638.70768276219</v>
      </c>
      <c r="D8">
        <f t="shared" si="1"/>
        <v>2912.7965420927467</v>
      </c>
      <c r="E8">
        <f t="shared" si="2"/>
        <v>2913</v>
      </c>
    </row>
    <row r="9" spans="1:7" x14ac:dyDescent="0.25">
      <c r="A9">
        <v>7</v>
      </c>
      <c r="B9">
        <f t="shared" si="3"/>
        <v>280.14999999999998</v>
      </c>
      <c r="C9">
        <f t="shared" si="0"/>
        <v>23425.137118719744</v>
      </c>
      <c r="D9">
        <f t="shared" si="1"/>
        <v>2869.8741357573681</v>
      </c>
      <c r="E9">
        <f t="shared" si="2"/>
        <v>2870</v>
      </c>
    </row>
    <row r="10" spans="1:7" x14ac:dyDescent="0.25">
      <c r="A10">
        <v>8</v>
      </c>
      <c r="B10">
        <f t="shared" si="3"/>
        <v>281.14999999999998</v>
      </c>
      <c r="C10">
        <f t="shared" si="0"/>
        <v>22279.344125776763</v>
      </c>
      <c r="D10">
        <f t="shared" si="1"/>
        <v>2826.3868633625902</v>
      </c>
      <c r="E10">
        <f t="shared" si="2"/>
        <v>2826</v>
      </c>
    </row>
    <row r="11" spans="1:7" x14ac:dyDescent="0.25">
      <c r="A11">
        <v>9</v>
      </c>
      <c r="B11">
        <f t="shared" si="3"/>
        <v>282.14999999999998</v>
      </c>
      <c r="C11">
        <f t="shared" si="0"/>
        <v>21197.129140324207</v>
      </c>
      <c r="D11">
        <f t="shared" si="1"/>
        <v>2782.3792195490964</v>
      </c>
      <c r="E11">
        <f t="shared" si="2"/>
        <v>2782</v>
      </c>
    </row>
    <row r="12" spans="1:7" x14ac:dyDescent="0.25">
      <c r="A12">
        <v>10</v>
      </c>
      <c r="B12">
        <f t="shared" si="3"/>
        <v>283.14999999999998</v>
      </c>
      <c r="C12">
        <f t="shared" si="0"/>
        <v>20174.57702398485</v>
      </c>
      <c r="D12">
        <f t="shared" si="1"/>
        <v>2737.8972983631188</v>
      </c>
      <c r="E12">
        <f t="shared" si="2"/>
        <v>2738</v>
      </c>
    </row>
    <row r="13" spans="1:7" x14ac:dyDescent="0.25">
      <c r="A13">
        <v>11</v>
      </c>
      <c r="B13">
        <f t="shared" si="3"/>
        <v>284.14999999999998</v>
      </c>
      <c r="C13">
        <f t="shared" si="0"/>
        <v>19208.036236013788</v>
      </c>
      <c r="D13">
        <f t="shared" si="1"/>
        <v>2692.9885922796734</v>
      </c>
      <c r="E13">
        <f t="shared" si="2"/>
        <v>2693</v>
      </c>
    </row>
    <row r="14" spans="1:7" x14ac:dyDescent="0.25">
      <c r="A14">
        <v>12</v>
      </c>
      <c r="B14">
        <f t="shared" si="3"/>
        <v>285.14999999999998</v>
      </c>
      <c r="C14">
        <f t="shared" si="0"/>
        <v>18294.099640871082</v>
      </c>
      <c r="D14">
        <f t="shared" si="1"/>
        <v>2647.70178165177</v>
      </c>
      <c r="E14">
        <f t="shared" si="2"/>
        <v>2648</v>
      </c>
    </row>
    <row r="15" spans="1:7" x14ac:dyDescent="0.25">
      <c r="A15">
        <v>13</v>
      </c>
      <c r="B15">
        <f t="shared" si="3"/>
        <v>286.14999999999998</v>
      </c>
      <c r="C15">
        <f t="shared" si="0"/>
        <v>17429.586814247774</v>
      </c>
      <c r="D15">
        <f t="shared" si="1"/>
        <v>2602.0865165665086</v>
      </c>
      <c r="E15">
        <f t="shared" si="2"/>
        <v>2602</v>
      </c>
    </row>
    <row r="16" spans="1:7" x14ac:dyDescent="0.25">
      <c r="A16">
        <v>14</v>
      </c>
      <c r="B16">
        <f t="shared" si="3"/>
        <v>287.14999999999998</v>
      </c>
      <c r="C16">
        <f t="shared" si="0"/>
        <v>16611.527722935953</v>
      </c>
      <c r="D16">
        <f t="shared" si="1"/>
        <v>2556.1931931774811</v>
      </c>
      <c r="E16">
        <f t="shared" si="2"/>
        <v>2556</v>
      </c>
    </row>
    <row r="17" spans="1:5" x14ac:dyDescent="0.25">
      <c r="A17">
        <v>15</v>
      </c>
      <c r="B17">
        <f t="shared" si="3"/>
        <v>288.14999999999998</v>
      </c>
      <c r="C17">
        <f t="shared" si="0"/>
        <v>15837.147664908136</v>
      </c>
      <c r="D17">
        <f t="shared" si="1"/>
        <v>2510.0727266377762</v>
      </c>
      <c r="E17">
        <f t="shared" si="2"/>
        <v>2510</v>
      </c>
    </row>
    <row r="18" spans="1:5" x14ac:dyDescent="0.25">
      <c r="A18">
        <v>16</v>
      </c>
      <c r="B18">
        <f t="shared" si="3"/>
        <v>289.14999999999998</v>
      </c>
      <c r="C18">
        <f t="shared" si="0"/>
        <v>15103.853365929419</v>
      </c>
      <c r="D18">
        <f t="shared" si="1"/>
        <v>2463.7763227785285</v>
      </c>
      <c r="E18">
        <f t="shared" si="2"/>
        <v>2464</v>
      </c>
    </row>
    <row r="19" spans="1:5" x14ac:dyDescent="0.25">
      <c r="A19">
        <v>17</v>
      </c>
      <c r="B19">
        <f t="shared" si="3"/>
        <v>290.14999999999998</v>
      </c>
      <c r="C19">
        <f t="shared" si="0"/>
        <v>14409.220138062792</v>
      </c>
      <c r="D19">
        <f t="shared" si="1"/>
        <v>2417.3552506643109</v>
      </c>
      <c r="E19">
        <f t="shared" si="2"/>
        <v>2417</v>
      </c>
    </row>
    <row r="20" spans="1:5" x14ac:dyDescent="0.25">
      <c r="A20">
        <v>18</v>
      </c>
      <c r="B20">
        <f t="shared" si="3"/>
        <v>291.14999999999998</v>
      </c>
      <c r="C20">
        <f t="shared" si="0"/>
        <v>13750.980013633698</v>
      </c>
      <c r="D20">
        <f t="shared" si="1"/>
        <v>2370.860618109501</v>
      </c>
      <c r="E20">
        <f t="shared" si="2"/>
        <v>2371</v>
      </c>
    </row>
    <row r="21" spans="1:5" x14ac:dyDescent="0.25">
      <c r="A21">
        <v>19</v>
      </c>
      <c r="B21">
        <f t="shared" si="3"/>
        <v>292.14999999999998</v>
      </c>
      <c r="C21">
        <f t="shared" si="0"/>
        <v>13127.010775676536</v>
      </c>
      <c r="D21">
        <f t="shared" si="1"/>
        <v>2324.3431521609136</v>
      </c>
      <c r="E21">
        <f t="shared" si="2"/>
        <v>2324</v>
      </c>
    </row>
    <row r="22" spans="1:5" x14ac:dyDescent="0.25">
      <c r="A22">
        <v>20</v>
      </c>
      <c r="B22">
        <f t="shared" si="3"/>
        <v>293.14999999999998</v>
      </c>
      <c r="C22">
        <f t="shared" si="0"/>
        <v>12535.32581266281</v>
      </c>
      <c r="D22">
        <f t="shared" si="1"/>
        <v>2277.85298644363</v>
      </c>
      <c r="E22">
        <f t="shared" si="2"/>
        <v>2278</v>
      </c>
    </row>
    <row r="23" spans="1:5" x14ac:dyDescent="0.25">
      <c r="A23">
        <v>21</v>
      </c>
      <c r="B23">
        <f t="shared" si="3"/>
        <v>294.14999999999998</v>
      </c>
      <c r="C23">
        <f t="shared" si="0"/>
        <v>11974.064731474306</v>
      </c>
      <c r="D23">
        <f t="shared" si="1"/>
        <v>2231.4394571321291</v>
      </c>
      <c r="E23">
        <f t="shared" si="2"/>
        <v>2231</v>
      </c>
    </row>
    <row r="24" spans="1:5" x14ac:dyDescent="0.25">
      <c r="A24">
        <v>22</v>
      </c>
      <c r="B24">
        <f t="shared" si="3"/>
        <v>295.14999999999998</v>
      </c>
      <c r="C24">
        <f t="shared" si="0"/>
        <v>11441.484668193882</v>
      </c>
      <c r="D24">
        <f t="shared" si="1"/>
        <v>2185.1509091511334</v>
      </c>
      <c r="E24">
        <f t="shared" si="2"/>
        <v>2185</v>
      </c>
    </row>
    <row r="25" spans="1:5" x14ac:dyDescent="0.25">
      <c r="A25">
        <v>23</v>
      </c>
      <c r="B25">
        <f t="shared" si="3"/>
        <v>296.14999999999998</v>
      </c>
      <c r="C25">
        <f t="shared" si="0"/>
        <v>10935.952241391826</v>
      </c>
      <c r="D25">
        <f t="shared" si="1"/>
        <v>2139.0345140337581</v>
      </c>
      <c r="E25">
        <f t="shared" si="2"/>
        <v>2139</v>
      </c>
    </row>
    <row r="26" spans="1:5" x14ac:dyDescent="0.25">
      <c r="A26">
        <v>24</v>
      </c>
      <c r="B26">
        <f t="shared" si="3"/>
        <v>297.14999999999998</v>
      </c>
      <c r="C26">
        <f t="shared" si="0"/>
        <v>10455.936097237052</v>
      </c>
      <c r="D26">
        <f t="shared" si="1"/>
        <v>2093.1361006729462</v>
      </c>
      <c r="E26">
        <f t="shared" si="2"/>
        <v>2093</v>
      </c>
    </row>
    <row r="27" spans="1:5" x14ac:dyDescent="0.25">
      <c r="A27">
        <v>25</v>
      </c>
      <c r="B27">
        <f t="shared" si="3"/>
        <v>298.14999999999998</v>
      </c>
      <c r="C27">
        <f t="shared" si="0"/>
        <v>10000</v>
      </c>
      <c r="D27">
        <f t="shared" si="1"/>
        <v>2047.5</v>
      </c>
      <c r="E27">
        <f t="shared" si="2"/>
        <v>2048</v>
      </c>
    </row>
    <row r="28" spans="1:5" x14ac:dyDescent="0.25">
      <c r="A28">
        <v>26</v>
      </c>
      <c r="B28">
        <f t="shared" si="3"/>
        <v>299.14999999999998</v>
      </c>
      <c r="C28">
        <f t="shared" si="0"/>
        <v>9566.7964253785212</v>
      </c>
      <c r="D28">
        <f t="shared" si="1"/>
        <v>2002.1689044156947</v>
      </c>
      <c r="E28">
        <f t="shared" si="2"/>
        <v>2002</v>
      </c>
    </row>
    <row r="29" spans="1:5" x14ac:dyDescent="0.25">
      <c r="A29">
        <v>27</v>
      </c>
      <c r="B29">
        <f t="shared" si="3"/>
        <v>300.14999999999998</v>
      </c>
      <c r="C29">
        <f t="shared" si="0"/>
        <v>9155.0606176022357</v>
      </c>
      <c r="D29">
        <f t="shared" si="1"/>
        <v>1957.1837425891697</v>
      </c>
      <c r="E29">
        <f t="shared" si="2"/>
        <v>1957</v>
      </c>
    </row>
    <row r="30" spans="1:5" x14ac:dyDescent="0.25">
      <c r="A30">
        <v>28</v>
      </c>
      <c r="B30">
        <f t="shared" si="3"/>
        <v>301.14999999999998</v>
      </c>
      <c r="C30">
        <f t="shared" si="0"/>
        <v>8763.6050744872282</v>
      </c>
      <c r="D30">
        <f t="shared" si="1"/>
        <v>1912.5835700315665</v>
      </c>
      <c r="E30">
        <f t="shared" si="2"/>
        <v>1913</v>
      </c>
    </row>
    <row r="31" spans="1:5" x14ac:dyDescent="0.25">
      <c r="A31">
        <v>29</v>
      </c>
      <c r="B31">
        <f t="shared" si="3"/>
        <v>302.14999999999998</v>
      </c>
      <c r="C31">
        <f t="shared" si="0"/>
        <v>8391.3144275502273</v>
      </c>
      <c r="D31">
        <f t="shared" si="1"/>
        <v>1868.4054756490482</v>
      </c>
      <c r="E31">
        <f t="shared" si="2"/>
        <v>1868</v>
      </c>
    </row>
    <row r="32" spans="1:5" x14ac:dyDescent="0.25">
      <c r="A32">
        <v>30</v>
      </c>
      <c r="B32">
        <f t="shared" si="3"/>
        <v>303.14999999999998</v>
      </c>
      <c r="C32">
        <f t="shared" si="0"/>
        <v>8037.1406869731372</v>
      </c>
      <c r="D32">
        <f t="shared" si="1"/>
        <v>1824.6845042864754</v>
      </c>
      <c r="E32">
        <f t="shared" si="2"/>
        <v>1825</v>
      </c>
    </row>
    <row r="33" spans="1:5" x14ac:dyDescent="0.25">
      <c r="A33">
        <v>31</v>
      </c>
      <c r="B33">
        <f t="shared" si="3"/>
        <v>304.14999999999998</v>
      </c>
      <c r="C33">
        <f t="shared" si="0"/>
        <v>7700.09882366077</v>
      </c>
      <c r="D33">
        <f t="shared" si="1"/>
        <v>1781.4535950918134</v>
      </c>
      <c r="E33">
        <f t="shared" si="2"/>
        <v>1781</v>
      </c>
    </row>
    <row r="34" spans="1:5" x14ac:dyDescent="0.25">
      <c r="A34">
        <v>32</v>
      </c>
      <c r="B34">
        <f t="shared" si="3"/>
        <v>305.14999999999998</v>
      </c>
      <c r="C34">
        <f t="shared" si="0"/>
        <v>7379.2626628761145</v>
      </c>
      <c r="D34">
        <f t="shared" si="1"/>
        <v>1738.7435353645126</v>
      </c>
      <c r="E34">
        <f t="shared" si="2"/>
        <v>1739</v>
      </c>
    </row>
    <row r="35" spans="1:5" x14ac:dyDescent="0.25">
      <c r="A35">
        <v>33</v>
      </c>
      <c r="B35">
        <f t="shared" si="3"/>
        <v>306.14999999999998</v>
      </c>
      <c r="C35">
        <f t="shared" si="0"/>
        <v>7073.7610659870961</v>
      </c>
      <c r="D35">
        <f t="shared" si="1"/>
        <v>1696.5829294005334</v>
      </c>
      <c r="E35">
        <f t="shared" si="2"/>
        <v>1697</v>
      </c>
    </row>
    <row r="36" spans="1:5" x14ac:dyDescent="0.25">
      <c r="A36">
        <v>34</v>
      </c>
      <c r="B36">
        <f t="shared" si="3"/>
        <v>307.14999999999998</v>
      </c>
      <c r="C36">
        <f t="shared" si="0"/>
        <v>6782.7743787355321</v>
      </c>
      <c r="D36">
        <f t="shared" si="1"/>
        <v>1654.9981817139042</v>
      </c>
      <c r="E36">
        <f t="shared" si="2"/>
        <v>1655</v>
      </c>
    </row>
    <row r="37" spans="1:5" x14ac:dyDescent="0.25">
      <c r="A37">
        <v>35</v>
      </c>
      <c r="B37">
        <f t="shared" si="3"/>
        <v>308.14999999999998</v>
      </c>
      <c r="C37">
        <f t="shared" si="0"/>
        <v>6505.5311261565666</v>
      </c>
      <c r="D37">
        <f t="shared" si="1"/>
        <v>1614.0134939004836</v>
      </c>
      <c r="E37">
        <f t="shared" si="2"/>
        <v>1614</v>
      </c>
    </row>
    <row r="38" spans="1:5" x14ac:dyDescent="0.25">
      <c r="A38">
        <v>36</v>
      </c>
      <c r="B38">
        <f t="shared" si="3"/>
        <v>309.14999999999998</v>
      </c>
      <c r="C38">
        <f t="shared" si="0"/>
        <v>6241.304935849771</v>
      </c>
      <c r="D38">
        <f t="shared" si="1"/>
        <v>1573.6508743142795</v>
      </c>
      <c r="E38">
        <f t="shared" si="2"/>
        <v>1574</v>
      </c>
    </row>
    <row r="39" spans="1:5" x14ac:dyDescent="0.25">
      <c r="A39">
        <v>37</v>
      </c>
      <c r="B39">
        <f t="shared" si="3"/>
        <v>310.14999999999998</v>
      </c>
      <c r="C39">
        <f t="shared" si="0"/>
        <v>5989.4116727455057</v>
      </c>
      <c r="D39">
        <f t="shared" si="1"/>
        <v>1533.9301596505479</v>
      </c>
      <c r="E39">
        <f t="shared" si="2"/>
        <v>1534</v>
      </c>
    </row>
    <row r="40" spans="1:5" x14ac:dyDescent="0.25">
      <c r="A40">
        <v>38</v>
      </c>
      <c r="B40">
        <f t="shared" si="3"/>
        <v>311.14999999999998</v>
      </c>
      <c r="C40">
        <f t="shared" si="0"/>
        <v>5749.2067698310466</v>
      </c>
      <c r="D40">
        <f t="shared" si="1"/>
        <v>1494.8690474720779</v>
      </c>
      <c r="E40">
        <f t="shared" si="2"/>
        <v>1495</v>
      </c>
    </row>
    <row r="41" spans="1:5" x14ac:dyDescent="0.25">
      <c r="A41">
        <v>39</v>
      </c>
      <c r="B41">
        <f t="shared" si="3"/>
        <v>312.14999999999998</v>
      </c>
      <c r="C41">
        <f t="shared" si="0"/>
        <v>5520.0827405136479</v>
      </c>
      <c r="D41">
        <f t="shared" si="1"/>
        <v>1456.4831386752817</v>
      </c>
      <c r="E41">
        <f t="shared" si="2"/>
        <v>1456</v>
      </c>
    </row>
    <row r="42" spans="1:5" x14ac:dyDescent="0.25">
      <c r="A42">
        <v>40</v>
      </c>
      <c r="B42">
        <f t="shared" si="3"/>
        <v>313.14999999999998</v>
      </c>
      <c r="C42">
        <f t="shared" si="0"/>
        <v>5301.4668594096684</v>
      </c>
      <c r="D42">
        <f t="shared" si="1"/>
        <v>1418.7859888695757</v>
      </c>
      <c r="E42">
        <f t="shared" si="2"/>
        <v>1419</v>
      </c>
    </row>
    <row r="43" spans="1:5" x14ac:dyDescent="0.25">
      <c r="A43">
        <v>41</v>
      </c>
      <c r="B43">
        <f t="shared" si="3"/>
        <v>314.14999999999998</v>
      </c>
      <c r="C43">
        <f t="shared" si="0"/>
        <v>5092.8189993696833</v>
      </c>
      <c r="D43">
        <f t="shared" si="1"/>
        <v>1381.7891676359345</v>
      </c>
      <c r="E43">
        <f t="shared" si="2"/>
        <v>1382</v>
      </c>
    </row>
    <row r="44" spans="1:5" x14ac:dyDescent="0.25">
      <c r="A44">
        <v>42</v>
      </c>
      <c r="B44">
        <f t="shared" si="3"/>
        <v>315.14999999999998</v>
      </c>
      <c r="C44">
        <f t="shared" si="0"/>
        <v>4893.62961348718</v>
      </c>
      <c r="D44">
        <f t="shared" si="1"/>
        <v>1345.5023246370358</v>
      </c>
      <c r="E44">
        <f t="shared" si="2"/>
        <v>1346</v>
      </c>
    </row>
    <row r="45" spans="1:5" x14ac:dyDescent="0.25">
      <c r="A45">
        <v>43</v>
      </c>
      <c r="B45">
        <f t="shared" si="3"/>
        <v>316.14999999999998</v>
      </c>
      <c r="C45">
        <f t="shared" si="0"/>
        <v>4703.4178516995044</v>
      </c>
      <c r="D45">
        <f t="shared" si="1"/>
        <v>1309.93326157042</v>
      </c>
      <c r="E45">
        <f t="shared" si="2"/>
        <v>1310</v>
      </c>
    </row>
    <row r="46" spans="1:5" x14ac:dyDescent="0.25">
      <c r="A46">
        <v>44</v>
      </c>
      <c r="B46">
        <f t="shared" si="3"/>
        <v>317.14999999999998</v>
      </c>
      <c r="C46">
        <f t="shared" si="0"/>
        <v>4521.7298023814565</v>
      </c>
      <c r="D46">
        <f t="shared" si="1"/>
        <v>1275.0880089860575</v>
      </c>
      <c r="E46">
        <f t="shared" si="2"/>
        <v>1275</v>
      </c>
    </row>
    <row r="47" spans="1:5" x14ac:dyDescent="0.25">
      <c r="A47">
        <v>45</v>
      </c>
      <c r="B47">
        <f t="shared" si="3"/>
        <v>318.14999999999998</v>
      </c>
      <c r="C47">
        <f t="shared" si="0"/>
        <v>4348.1368500594717</v>
      </c>
      <c r="D47">
        <f t="shared" si="1"/>
        <v>1240.9709070289314</v>
      </c>
      <c r="E47">
        <f t="shared" si="2"/>
        <v>1241</v>
      </c>
    </row>
    <row r="48" spans="1:5" x14ac:dyDescent="0.25">
      <c r="A48">
        <v>46</v>
      </c>
      <c r="B48">
        <f t="shared" si="3"/>
        <v>319.14999999999998</v>
      </c>
      <c r="C48">
        <f t="shared" si="0"/>
        <v>4182.2341410439949</v>
      </c>
      <c r="D48">
        <f t="shared" si="1"/>
        <v>1207.5846892141669</v>
      </c>
      <c r="E48">
        <f t="shared" si="2"/>
        <v>1208</v>
      </c>
    </row>
    <row r="49" spans="1:5" x14ac:dyDescent="0.25">
      <c r="A49">
        <v>47</v>
      </c>
      <c r="B49">
        <f t="shared" si="3"/>
        <v>320.14999999999998</v>
      </c>
      <c r="C49">
        <f t="shared" si="0"/>
        <v>4023.6391493935303</v>
      </c>
      <c r="D49">
        <f t="shared" si="1"/>
        <v>1174.9305683952275</v>
      </c>
      <c r="E49">
        <f t="shared" si="2"/>
        <v>1175</v>
      </c>
    </row>
    <row r="50" spans="1:5" x14ac:dyDescent="0.25">
      <c r="A50">
        <v>48</v>
      </c>
      <c r="B50">
        <f t="shared" si="3"/>
        <v>321.14999999999998</v>
      </c>
      <c r="C50">
        <f t="shared" si="0"/>
        <v>3871.9903361908941</v>
      </c>
      <c r="D50">
        <f t="shared" si="1"/>
        <v>1143.0083241433076</v>
      </c>
      <c r="E50">
        <f t="shared" si="2"/>
        <v>1143</v>
      </c>
    </row>
    <row r="51" spans="1:5" x14ac:dyDescent="0.25">
      <c r="A51">
        <v>49</v>
      </c>
      <c r="B51">
        <f t="shared" si="3"/>
        <v>322.14999999999998</v>
      </c>
      <c r="C51">
        <f t="shared" si="0"/>
        <v>3726.945895634597</v>
      </c>
      <c r="D51">
        <f t="shared" si="1"/>
        <v>1111.8163908169261</v>
      </c>
      <c r="E51">
        <f t="shared" si="2"/>
        <v>1112</v>
      </c>
    </row>
    <row r="52" spans="1:5" x14ac:dyDescent="0.25">
      <c r="A52">
        <v>50</v>
      </c>
      <c r="B52">
        <f t="shared" si="3"/>
        <v>323.14999999999998</v>
      </c>
      <c r="C52">
        <f t="shared" si="0"/>
        <v>3588.182581929083</v>
      </c>
      <c r="D52">
        <f t="shared" si="1"/>
        <v>1081.3519456634779</v>
      </c>
      <c r="E52">
        <f t="shared" si="2"/>
        <v>1081</v>
      </c>
    </row>
    <row r="53" spans="1:5" x14ac:dyDescent="0.25">
      <c r="A53">
        <v>51</v>
      </c>
      <c r="B53">
        <f t="shared" si="3"/>
        <v>324.14999999999998</v>
      </c>
      <c r="C53">
        <f t="shared" si="0"/>
        <v>3455.3946114014111</v>
      </c>
      <c r="D53">
        <f t="shared" si="1"/>
        <v>1051.6109963582137</v>
      </c>
      <c r="E53">
        <f t="shared" si="2"/>
        <v>1052</v>
      </c>
    </row>
    <row r="54" spans="1:5" x14ac:dyDescent="0.25">
      <c r="A54">
        <v>52</v>
      </c>
      <c r="B54">
        <f t="shared" si="3"/>
        <v>325.14999999999998</v>
      </c>
      <c r="C54">
        <f t="shared" si="0"/>
        <v>3328.2926346803315</v>
      </c>
      <c r="D54">
        <f t="shared" si="1"/>
        <v>1022.5884674494803</v>
      </c>
      <c r="E54">
        <f t="shared" si="2"/>
        <v>1023</v>
      </c>
    </row>
    <row r="55" spans="1:5" x14ac:dyDescent="0.25">
      <c r="A55">
        <v>53</v>
      </c>
      <c r="B55">
        <f t="shared" si="3"/>
        <v>326.14999999999998</v>
      </c>
      <c r="C55">
        <f t="shared" si="0"/>
        <v>3206.602774151228</v>
      </c>
      <c r="D55">
        <f t="shared" si="1"/>
        <v>994.27828524154233</v>
      </c>
      <c r="E55">
        <f t="shared" si="2"/>
        <v>994</v>
      </c>
    </row>
    <row r="56" spans="1:5" x14ac:dyDescent="0.25">
      <c r="A56">
        <v>54</v>
      </c>
      <c r="B56">
        <f t="shared" si="3"/>
        <v>327.14999999999998</v>
      </c>
      <c r="C56">
        <f t="shared" si="0"/>
        <v>3090.0657222480427</v>
      </c>
      <c r="D56">
        <f t="shared" si="1"/>
        <v>966.67346070685824</v>
      </c>
      <c r="E56">
        <f t="shared" si="2"/>
        <v>967</v>
      </c>
    </row>
    <row r="57" spans="1:5" x14ac:dyDescent="0.25">
      <c r="A57">
        <v>55</v>
      </c>
      <c r="B57">
        <f t="shared" si="3"/>
        <v>328.15</v>
      </c>
      <c r="C57">
        <f t="shared" si="0"/>
        <v>2978.4358964646267</v>
      </c>
      <c r="D57">
        <f t="shared" si="1"/>
        <v>939.76617007794209</v>
      </c>
      <c r="E57">
        <f t="shared" si="2"/>
        <v>940</v>
      </c>
    </row>
    <row r="58" spans="1:5" x14ac:dyDescent="0.25">
      <c r="A58">
        <v>56</v>
      </c>
      <c r="B58">
        <f t="shared" si="3"/>
        <v>329.15</v>
      </c>
      <c r="C58">
        <f t="shared" si="0"/>
        <v>2871.48064726449</v>
      </c>
      <c r="D58">
        <f t="shared" si="1"/>
        <v>913.54783282427616</v>
      </c>
      <c r="E58">
        <f t="shared" si="2"/>
        <v>914</v>
      </c>
    </row>
    <row r="59" spans="1:5" x14ac:dyDescent="0.25">
      <c r="A59">
        <v>57</v>
      </c>
      <c r="B59">
        <f t="shared" si="3"/>
        <v>330.15</v>
      </c>
      <c r="C59">
        <f t="shared" si="0"/>
        <v>2768.9795153419145</v>
      </c>
      <c r="D59">
        <f t="shared" si="1"/>
        <v>888.00918677184643</v>
      </c>
      <c r="E59">
        <f t="shared" si="2"/>
        <v>888</v>
      </c>
    </row>
    <row r="60" spans="1:5" x14ac:dyDescent="0.25">
      <c r="A60">
        <v>58</v>
      </c>
      <c r="B60">
        <f t="shared" si="3"/>
        <v>331.15</v>
      </c>
      <c r="C60">
        <f t="shared" si="0"/>
        <v>2670.7235349405078</v>
      </c>
      <c r="D60">
        <f t="shared" si="1"/>
        <v>863.14036017144701</v>
      </c>
      <c r="E60">
        <f t="shared" si="2"/>
        <v>863</v>
      </c>
    </row>
    <row r="61" spans="1:5" x14ac:dyDescent="0.25">
      <c r="A61">
        <v>59</v>
      </c>
      <c r="B61">
        <f t="shared" si="3"/>
        <v>332.15</v>
      </c>
      <c r="C61">
        <f t="shared" si="0"/>
        <v>2576.5145801693689</v>
      </c>
      <c r="D61">
        <f t="shared" si="1"/>
        <v>838.93094056680025</v>
      </c>
      <c r="E61">
        <f t="shared" si="2"/>
        <v>839</v>
      </c>
    </row>
    <row r="62" spans="1:5" x14ac:dyDescent="0.25">
      <c r="A62">
        <v>60</v>
      </c>
      <c r="B62">
        <f t="shared" si="3"/>
        <v>333.15</v>
      </c>
      <c r="C62">
        <f t="shared" si="0"/>
        <v>2486.1647514733818</v>
      </c>
      <c r="D62">
        <f t="shared" si="1"/>
        <v>815.37004035463713</v>
      </c>
      <c r="E62">
        <f t="shared" si="2"/>
        <v>815</v>
      </c>
    </row>
    <row r="63" spans="1:5" x14ac:dyDescent="0.25">
      <c r="A63">
        <v>61</v>
      </c>
      <c r="B63">
        <f t="shared" si="3"/>
        <v>334.15</v>
      </c>
      <c r="C63">
        <f t="shared" si="0"/>
        <v>2399.4957996144262</v>
      </c>
      <c r="D63">
        <f t="shared" si="1"/>
        <v>792.44635896619468</v>
      </c>
      <c r="E63">
        <f t="shared" si="2"/>
        <v>792</v>
      </c>
    </row>
    <row r="64" spans="1:5" x14ac:dyDescent="0.25">
      <c r="A64">
        <v>62</v>
      </c>
      <c r="B64">
        <f t="shared" si="3"/>
        <v>335.15</v>
      </c>
      <c r="C64">
        <f t="shared" si="0"/>
        <v>2316.3385847055865</v>
      </c>
      <c r="D64">
        <f t="shared" si="1"/>
        <v>770.14824163313779</v>
      </c>
      <c r="E64">
        <f t="shared" si="2"/>
        <v>770</v>
      </c>
    </row>
    <row r="65" spans="1:5" x14ac:dyDescent="0.25">
      <c r="A65">
        <v>63</v>
      </c>
      <c r="B65">
        <f t="shared" si="3"/>
        <v>336.15</v>
      </c>
      <c r="C65">
        <f t="shared" si="0"/>
        <v>2236.5325680118708</v>
      </c>
      <c r="D65">
        <f t="shared" si="1"/>
        <v>748.46373473074925</v>
      </c>
      <c r="E65">
        <f t="shared" si="2"/>
        <v>748</v>
      </c>
    </row>
    <row r="66" spans="1:5" x14ac:dyDescent="0.25">
      <c r="A66">
        <v>64</v>
      </c>
      <c r="B66">
        <f t="shared" si="3"/>
        <v>337.15</v>
      </c>
      <c r="C66">
        <f t="shared" si="0"/>
        <v>2159.925334389869</v>
      </c>
      <c r="D66">
        <f t="shared" si="1"/>
        <v>727.38063771756788</v>
      </c>
      <c r="E66">
        <f t="shared" si="2"/>
        <v>727</v>
      </c>
    </row>
    <row r="67" spans="1:5" x14ac:dyDescent="0.25">
      <c r="A67">
        <v>65</v>
      </c>
      <c r="B67">
        <f t="shared" si="3"/>
        <v>338.15</v>
      </c>
      <c r="C67">
        <f t="shared" ref="C67:C102" si="4">10000 * EXP(3950 * (1/B67 - 1/298.15))</f>
        <v>2086.3721433859669</v>
      </c>
      <c r="D67">
        <f t="shared" ref="D67:D102" si="5" xml:space="preserve"> 4095 * C67 / (10000 + C67)</f>
        <v>706.88655171360961</v>
      </c>
      <c r="E67">
        <f t="shared" ref="E67:E102" si="6" xml:space="preserve"> ROUND(D67, 0)</f>
        <v>707</v>
      </c>
    </row>
    <row r="68" spans="1:5" x14ac:dyDescent="0.25">
      <c r="A68">
        <v>66</v>
      </c>
      <c r="B68">
        <f t="shared" ref="B68:B102" si="7">SUM(A68,273.15)</f>
        <v>339.15</v>
      </c>
      <c r="C68">
        <f t="shared" si="4"/>
        <v>2015.7355071489537</v>
      </c>
      <c r="D68">
        <f t="shared" si="5"/>
        <v>686.96892477899962</v>
      </c>
      <c r="E68">
        <f t="shared" si="6"/>
        <v>687</v>
      </c>
    </row>
    <row r="69" spans="1:5" x14ac:dyDescent="0.25">
      <c r="A69">
        <v>67</v>
      </c>
      <c r="B69">
        <f t="shared" si="7"/>
        <v>340.15</v>
      </c>
      <c r="C69">
        <f t="shared" si="4"/>
        <v>1947.8847934394441</v>
      </c>
      <c r="D69">
        <f t="shared" si="5"/>
        <v>667.61509397165014</v>
      </c>
      <c r="E69">
        <f t="shared" si="6"/>
        <v>668</v>
      </c>
    </row>
    <row r="70" spans="1:5" x14ac:dyDescent="0.25">
      <c r="A70">
        <v>68</v>
      </c>
      <c r="B70">
        <f t="shared" si="7"/>
        <v>341.15</v>
      </c>
      <c r="C70">
        <f t="shared" si="4"/>
        <v>1882.6958521356758</v>
      </c>
      <c r="D70">
        <f t="shared" si="5"/>
        <v>648.8123242765605</v>
      </c>
      <c r="E70">
        <f t="shared" si="6"/>
        <v>649</v>
      </c>
    </row>
    <row r="71" spans="1:5" x14ac:dyDescent="0.25">
      <c r="A71">
        <v>69</v>
      </c>
      <c r="B71">
        <f t="shared" si="7"/>
        <v>342.15</v>
      </c>
      <c r="C71">
        <f t="shared" si="4"/>
        <v>1820.0506637440094</v>
      </c>
      <c r="D71">
        <f t="shared" si="5"/>
        <v>630.54784451075625</v>
      </c>
      <c r="E71">
        <f t="shared" si="6"/>
        <v>631</v>
      </c>
    </row>
    <row r="72" spans="1:5" x14ac:dyDescent="0.25">
      <c r="A72">
        <v>70</v>
      </c>
      <c r="B72">
        <f t="shared" si="7"/>
        <v>343.15</v>
      </c>
      <c r="C72">
        <f t="shared" si="4"/>
        <v>1759.8370085233807</v>
      </c>
      <c r="D72">
        <f t="shared" si="5"/>
        <v>612.80888031696702</v>
      </c>
      <c r="E72">
        <f t="shared" si="6"/>
        <v>613</v>
      </c>
    </row>
    <row r="73" spans="1:5" x14ac:dyDescent="0.25">
      <c r="A73">
        <v>71</v>
      </c>
      <c r="B73">
        <f t="shared" si="7"/>
        <v>344.15</v>
      </c>
      <c r="C73">
        <f t="shared" si="4"/>
        <v>1701.9481549266641</v>
      </c>
      <c r="D73">
        <f t="shared" si="5"/>
        <v>595.58268436614583</v>
      </c>
      <c r="E73">
        <f t="shared" si="6"/>
        <v>596</v>
      </c>
    </row>
    <row r="74" spans="1:5" x14ac:dyDescent="0.25">
      <c r="A74">
        <v>72</v>
      </c>
      <c r="B74">
        <f t="shared" si="7"/>
        <v>345.15</v>
      </c>
      <c r="C74">
        <f t="shared" si="4"/>
        <v>1646.2825661488762</v>
      </c>
      <c r="D74">
        <f t="shared" si="5"/>
        <v>578.8565638940097</v>
      </c>
      <c r="E74">
        <f t="shared" si="6"/>
        <v>579</v>
      </c>
    </row>
    <row r="75" spans="1:5" x14ac:dyDescent="0.25">
      <c r="A75">
        <v>73</v>
      </c>
      <c r="B75">
        <f t="shared" si="7"/>
        <v>346.15</v>
      </c>
      <c r="C75">
        <f t="shared" si="4"/>
        <v>1592.7436236529284</v>
      </c>
      <c r="D75">
        <f t="shared" si="5"/>
        <v>562.61790570018138</v>
      </c>
      <c r="E75">
        <f t="shared" si="6"/>
        <v>563</v>
      </c>
    </row>
    <row r="76" spans="1:5" x14ac:dyDescent="0.25">
      <c r="A76">
        <v>74</v>
      </c>
      <c r="B76">
        <f t="shared" si="7"/>
        <v>347.15</v>
      </c>
      <c r="C76">
        <f t="shared" si="4"/>
        <v>1541.2393666187754</v>
      </c>
      <c r="D76">
        <f t="shared" si="5"/>
        <v>546.85419874043589</v>
      </c>
      <c r="E76">
        <f t="shared" si="6"/>
        <v>547</v>
      </c>
    </row>
    <row r="77" spans="1:5" x14ac:dyDescent="0.25">
      <c r="A77">
        <v>75</v>
      </c>
      <c r="B77">
        <f t="shared" si="7"/>
        <v>348.15</v>
      </c>
      <c r="C77">
        <f t="shared" si="4"/>
        <v>1491.682246331595</v>
      </c>
      <c r="D77">
        <f t="shared" si="5"/>
        <v>531.55305444316764</v>
      </c>
      <c r="E77">
        <f t="shared" si="6"/>
        <v>532</v>
      </c>
    </row>
    <row r="78" spans="1:5" x14ac:dyDescent="0.25">
      <c r="A78">
        <v>76</v>
      </c>
      <c r="B78">
        <f t="shared" si="7"/>
        <v>349.15</v>
      </c>
      <c r="C78">
        <f t="shared" si="4"/>
        <v>1443.9888945894415</v>
      </c>
      <c r="D78">
        <f t="shared" si="5"/>
        <v>516.70222488064553</v>
      </c>
      <c r="E78">
        <f t="shared" si="6"/>
        <v>517</v>
      </c>
    </row>
    <row r="79" spans="1:5" x14ac:dyDescent="0.25">
      <c r="A79">
        <v>77</v>
      </c>
      <c r="B79">
        <f t="shared" si="7"/>
        <v>350.15</v>
      </c>
      <c r="C79">
        <f t="shared" si="4"/>
        <v>1398.0799052713089</v>
      </c>
      <c r="D79">
        <f t="shared" si="5"/>
        <v>502.28961892417391</v>
      </c>
      <c r="E79">
        <f t="shared" si="6"/>
        <v>502</v>
      </c>
    </row>
    <row r="80" spans="1:5" x14ac:dyDescent="0.25">
      <c r="A80">
        <v>78</v>
      </c>
      <c r="B80">
        <f t="shared" si="7"/>
        <v>351.15</v>
      </c>
      <c r="C80">
        <f t="shared" si="4"/>
        <v>1353.8796282625538</v>
      </c>
      <c r="D80">
        <f t="shared" si="5"/>
        <v>488.3033165099319</v>
      </c>
      <c r="E80">
        <f t="shared" si="6"/>
        <v>488</v>
      </c>
    </row>
    <row r="81" spans="1:5" x14ac:dyDescent="0.25">
      <c r="A81">
        <v>79</v>
      </c>
      <c r="B81">
        <f t="shared" si="7"/>
        <v>352.15</v>
      </c>
      <c r="C81">
        <f t="shared" si="4"/>
        <v>1311.3159749870022</v>
      </c>
      <c r="D81">
        <f t="shared" si="5"/>
        <v>474.73158113929748</v>
      </c>
      <c r="E81">
        <f t="shared" si="6"/>
        <v>475</v>
      </c>
    </row>
    <row r="82" spans="1:5" x14ac:dyDescent="0.25">
      <c r="A82">
        <v>80</v>
      </c>
      <c r="B82">
        <f t="shared" si="7"/>
        <v>353.15</v>
      </c>
      <c r="C82">
        <f t="shared" si="4"/>
        <v>1270.3202348436205</v>
      </c>
      <c r="D82">
        <f t="shared" si="5"/>
        <v>461.56287073388603</v>
      </c>
      <c r="E82">
        <f t="shared" si="6"/>
        <v>462</v>
      </c>
    </row>
    <row r="83" spans="1:5" x14ac:dyDescent="0.25">
      <c r="A83">
        <v>81</v>
      </c>
      <c r="B83">
        <f t="shared" si="7"/>
        <v>354.15</v>
      </c>
      <c r="C83">
        <f t="shared" si="4"/>
        <v>1230.8269018910289</v>
      </c>
      <c r="D83">
        <f t="shared" si="5"/>
        <v>448.78584696155332</v>
      </c>
      <c r="E83">
        <f t="shared" si="6"/>
        <v>449</v>
      </c>
    </row>
    <row r="84" spans="1:5" x14ac:dyDescent="0.25">
      <c r="A84">
        <v>82</v>
      </c>
      <c r="B84">
        <f t="shared" si="7"/>
        <v>355.15</v>
      </c>
      <c r="C84">
        <f t="shared" si="4"/>
        <v>1192.7735111652521</v>
      </c>
      <c r="D84">
        <f t="shared" si="5"/>
        <v>436.38938314523296</v>
      </c>
      <c r="E84">
        <f t="shared" si="6"/>
        <v>436</v>
      </c>
    </row>
    <row r="85" spans="1:5" x14ac:dyDescent="0.25">
      <c r="A85">
        <v>83</v>
      </c>
      <c r="B85">
        <f t="shared" si="7"/>
        <v>356.15</v>
      </c>
      <c r="C85">
        <f t="shared" si="4"/>
        <v>1156.1004840554915</v>
      </c>
      <c r="D85">
        <f t="shared" si="5"/>
        <v>424.36257086187868</v>
      </c>
      <c r="E85">
        <f t="shared" si="6"/>
        <v>424</v>
      </c>
    </row>
    <row r="86" spans="1:5" x14ac:dyDescent="0.25">
      <c r="A86">
        <v>84</v>
      </c>
      <c r="B86">
        <f t="shared" si="7"/>
        <v>357.15</v>
      </c>
      <c r="C86">
        <f t="shared" si="4"/>
        <v>1120.7509821993378</v>
      </c>
      <c r="D86">
        <f t="shared" si="5"/>
        <v>412.69472533397499</v>
      </c>
      <c r="E86">
        <f t="shared" si="6"/>
        <v>413</v>
      </c>
    </row>
    <row r="87" spans="1:5" x14ac:dyDescent="0.25">
      <c r="A87">
        <v>85</v>
      </c>
      <c r="B87">
        <f t="shared" si="7"/>
        <v>358.15</v>
      </c>
      <c r="C87">
        <f t="shared" si="4"/>
        <v>1086.6707693930255</v>
      </c>
      <c r="D87">
        <f t="shared" si="5"/>
        <v>401.37538971115885</v>
      </c>
      <c r="E87">
        <f t="shared" si="6"/>
        <v>401</v>
      </c>
    </row>
    <row r="88" spans="1:5" x14ac:dyDescent="0.25">
      <c r="A88">
        <v>86</v>
      </c>
      <c r="B88">
        <f t="shared" si="7"/>
        <v>359.15</v>
      </c>
      <c r="C88">
        <f t="shared" si="4"/>
        <v>1053.8080810441725</v>
      </c>
      <c r="D88">
        <f t="shared" si="5"/>
        <v>390.39433833450886</v>
      </c>
      <c r="E88">
        <f t="shared" si="6"/>
        <v>390</v>
      </c>
    </row>
    <row r="89" spans="1:5" x14ac:dyDescent="0.25">
      <c r="A89">
        <v>87</v>
      </c>
      <c r="B89">
        <f t="shared" si="7"/>
        <v>360.15</v>
      </c>
      <c r="C89">
        <f t="shared" si="4"/>
        <v>1022.1135007242613</v>
      </c>
      <c r="D89">
        <f t="shared" si="5"/>
        <v>379.74157907109355</v>
      </c>
      <c r="E89">
        <f t="shared" si="6"/>
        <v>380</v>
      </c>
    </row>
    <row r="90" spans="1:5" x14ac:dyDescent="0.25">
      <c r="A90">
        <v>88</v>
      </c>
      <c r="B90">
        <f t="shared" si="7"/>
        <v>361.15</v>
      </c>
      <c r="C90">
        <f t="shared" si="4"/>
        <v>991.53984340578097</v>
      </c>
      <c r="D90">
        <f t="shared" si="5"/>
        <v>369.4073548013954</v>
      </c>
      <c r="E90">
        <f t="shared" si="6"/>
        <v>369</v>
      </c>
    </row>
    <row r="91" spans="1:5" x14ac:dyDescent="0.25">
      <c r="A91">
        <v>89</v>
      </c>
      <c r="B91">
        <f t="shared" si="7"/>
        <v>362.15</v>
      </c>
      <c r="C91">
        <f t="shared" si="4"/>
        <v>962.04204499490004</v>
      </c>
      <c r="D91">
        <f t="shared" si="5"/>
        <v>359.38214413735619</v>
      </c>
      <c r="E91">
        <f t="shared" si="6"/>
        <v>359</v>
      </c>
    </row>
    <row r="92" spans="1:5" x14ac:dyDescent="0.25">
      <c r="A92">
        <v>90</v>
      </c>
      <c r="B92">
        <f t="shared" si="7"/>
        <v>363.15</v>
      </c>
      <c r="C92">
        <f t="shared" si="4"/>
        <v>933.57705779475566</v>
      </c>
      <c r="D92">
        <f t="shared" si="5"/>
        <v>349.65666144402729</v>
      </c>
      <c r="E92">
        <f t="shared" si="6"/>
        <v>350</v>
      </c>
    </row>
    <row r="93" spans="1:5" x14ac:dyDescent="0.25">
      <c r="A93">
        <v>91</v>
      </c>
      <c r="B93">
        <f t="shared" si="7"/>
        <v>364.15</v>
      </c>
      <c r="C93">
        <f t="shared" si="4"/>
        <v>906.10375155695078</v>
      </c>
      <c r="D93">
        <f t="shared" si="5"/>
        <v>340.22185623312123</v>
      </c>
      <c r="E93">
        <f t="shared" si="6"/>
        <v>340</v>
      </c>
    </row>
    <row r="94" spans="1:5" x14ac:dyDescent="0.25">
      <c r="A94">
        <v>92</v>
      </c>
      <c r="B94">
        <f t="shared" si="7"/>
        <v>365.15</v>
      </c>
      <c r="C94">
        <f t="shared" si="4"/>
        <v>879.58281980005268</v>
      </c>
      <c r="D94">
        <f t="shared" si="5"/>
        <v>331.06891199229017</v>
      </c>
      <c r="E94">
        <f t="shared" si="6"/>
        <v>331</v>
      </c>
    </row>
    <row r="95" spans="1:5" x14ac:dyDescent="0.25">
      <c r="A95">
        <v>93</v>
      </c>
      <c r="B95">
        <f t="shared" si="7"/>
        <v>366.15</v>
      </c>
      <c r="C95">
        <f t="shared" si="4"/>
        <v>853.97669109353592</v>
      </c>
      <c r="D95">
        <f t="shared" si="5"/>
        <v>322.1892445095811</v>
      </c>
      <c r="E95">
        <f t="shared" si="6"/>
        <v>322</v>
      </c>
    </row>
    <row r="96" spans="1:5" x14ac:dyDescent="0.25">
      <c r="A96">
        <v>94</v>
      </c>
      <c r="B96">
        <f t="shared" si="7"/>
        <v>367.15</v>
      </c>
      <c r="C96">
        <f t="shared" si="4"/>
        <v>829.24944502410733</v>
      </c>
      <c r="D96">
        <f t="shared" si="5"/>
        <v>313.57449974836743</v>
      </c>
      <c r="E96">
        <f t="shared" si="6"/>
        <v>314</v>
      </c>
    </row>
    <row r="97" spans="1:5" x14ac:dyDescent="0.25">
      <c r="A97">
        <v>95</v>
      </c>
      <c r="B97">
        <f t="shared" si="7"/>
        <v>368.15</v>
      </c>
      <c r="C97">
        <f t="shared" si="4"/>
        <v>805.36673257853829</v>
      </c>
      <c r="D97">
        <f t="shared" si="5"/>
        <v>305.21655132403833</v>
      </c>
      <c r="E97">
        <f t="shared" si="6"/>
        <v>305</v>
      </c>
    </row>
    <row r="98" spans="1:5" x14ac:dyDescent="0.25">
      <c r="A98">
        <v>96</v>
      </c>
      <c r="B98">
        <f t="shared" si="7"/>
        <v>369.15</v>
      </c>
      <c r="C98">
        <f t="shared" si="4"/>
        <v>782.29570069330578</v>
      </c>
      <c r="D98">
        <f t="shared" si="5"/>
        <v>297.10749762994351</v>
      </c>
      <c r="E98">
        <f t="shared" si="6"/>
        <v>297</v>
      </c>
    </row>
    <row r="99" spans="1:5" x14ac:dyDescent="0.25">
      <c r="A99">
        <v>97</v>
      </c>
      <c r="B99">
        <f t="shared" si="7"/>
        <v>370.15</v>
      </c>
      <c r="C99">
        <f t="shared" si="4"/>
        <v>760.00492073640328</v>
      </c>
      <c r="D99">
        <f t="shared" si="5"/>
        <v>289.23965865645482</v>
      </c>
      <c r="E99">
        <f t="shared" si="6"/>
        <v>289</v>
      </c>
    </row>
    <row r="100" spans="1:5" x14ac:dyDescent="0.25">
      <c r="A100">
        <v>98</v>
      </c>
      <c r="B100">
        <f t="shared" si="7"/>
        <v>371.15</v>
      </c>
      <c r="C100">
        <f t="shared" si="4"/>
        <v>738.4643207007814</v>
      </c>
      <c r="D100">
        <f t="shared" si="5"/>
        <v>281.60557254357542</v>
      </c>
      <c r="E100">
        <f t="shared" si="6"/>
        <v>282</v>
      </c>
    </row>
    <row r="101" spans="1:5" x14ac:dyDescent="0.25">
      <c r="A101">
        <v>99</v>
      </c>
      <c r="B101">
        <f t="shared" si="7"/>
        <v>372.15</v>
      </c>
      <c r="C101">
        <f t="shared" si="4"/>
        <v>717.64512090214896</v>
      </c>
      <c r="D101">
        <f t="shared" si="5"/>
        <v>274.19799190430115</v>
      </c>
      <c r="E101">
        <f t="shared" si="6"/>
        <v>274</v>
      </c>
    </row>
    <row r="102" spans="1:5" x14ac:dyDescent="0.25">
      <c r="A102">
        <v>100</v>
      </c>
      <c r="B102">
        <f t="shared" si="7"/>
        <v>373.15</v>
      </c>
      <c r="C102">
        <f t="shared" si="4"/>
        <v>697.51977298618806</v>
      </c>
      <c r="D102">
        <f t="shared" si="5"/>
        <v>267.00987995286482</v>
      </c>
      <c r="E102">
        <f t="shared" si="6"/>
        <v>267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2026-07-04T00:13:18Z</dcterms:created>
  <dcterms:modified xsi:type="dcterms:W3CDTF">2026-07-08T08:35:14Z</dcterms:modified>
</cp:coreProperties>
</file>